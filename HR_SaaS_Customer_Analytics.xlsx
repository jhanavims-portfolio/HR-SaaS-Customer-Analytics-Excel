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EAB614F7E5E331/Desktop/New folder/project work/"/>
    </mc:Choice>
  </mc:AlternateContent>
  <xr:revisionPtr revIDLastSave="0" documentId="8_{DB8ED903-A32A-41F5-B80A-89099E94ADDB}" xr6:coauthVersionLast="47" xr6:coauthVersionMax="47" xr10:uidLastSave="{00000000-0000-0000-0000-000000000000}"/>
  <bookViews>
    <workbookView xWindow="-108" yWindow="-108" windowWidth="23256" windowHeight="12456" xr2:uid="{0082D74A-9009-4360-8C3F-E81C0BF9E044}"/>
  </bookViews>
  <sheets>
    <sheet name="data" sheetId="1" r:id="rId1"/>
    <sheet name="open_tickets" sheetId="4" r:id="rId2"/>
    <sheet name="login_companytype" sheetId="2" r:id="rId3"/>
    <sheet name="health_score" sheetId="5" r:id="rId4"/>
    <sheet name="jobs_posted" sheetId="3" r:id="rId5"/>
    <sheet name="churn_risk" sheetId="6" r:id="rId6"/>
    <sheet name="upsell" sheetId="7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<sst xmlns="http://schemas.openxmlformats.org/spreadsheetml/2006/main" count="224" uniqueCount="69">
  <si>
    <t>Account ID</t>
  </si>
  <si>
    <t>Company Name</t>
  </si>
  <si>
    <t>Account Type</t>
  </si>
  <si>
    <t>Contract Plan</t>
  </si>
  <si>
    <t>Logins/Week</t>
  </si>
  <si>
    <t>Jobs Posted/Month</t>
  </si>
  <si>
    <t>Open Tickets</t>
  </si>
  <si>
    <t>Health Score</t>
  </si>
  <si>
    <t>Churn Risk</t>
  </si>
  <si>
    <t>Upsell Opportunity</t>
  </si>
  <si>
    <t>ACC001</t>
  </si>
  <si>
    <t>TechCorp India</t>
  </si>
  <si>
    <t>SMB</t>
  </si>
  <si>
    <t>Basic</t>
  </si>
  <si>
    <t>High</t>
  </si>
  <si>
    <t>Yes (Needs Unlimited Sourcing)</t>
  </si>
  <si>
    <t>ACC002</t>
  </si>
  <si>
    <t>Global Logistics Ltd</t>
  </si>
  <si>
    <t>Enterprise</t>
  </si>
  <si>
    <t>Premium</t>
  </si>
  <si>
    <t>Low</t>
  </si>
  <si>
    <t>No</t>
  </si>
  <si>
    <t>ACC003</t>
  </si>
  <si>
    <t>Apex Retail Solutions</t>
  </si>
  <si>
    <t>Yes (Needs Resume Filtering Add-on)</t>
  </si>
  <si>
    <t>ACC004</t>
  </si>
  <si>
    <t>Zenith IT Services</t>
  </si>
  <si>
    <t>Yes (Expands to Multi-City License)</t>
  </si>
  <si>
    <t>ACC005</t>
  </si>
  <si>
    <t>Nova Health Tech</t>
  </si>
  <si>
    <t>Medium</t>
  </si>
  <si>
    <t>ACC006</t>
  </si>
  <si>
    <t>Vanguard FinTech</t>
  </si>
  <si>
    <t>Yes (Needs Automated Assessments)</t>
  </si>
  <si>
    <t>ACC007</t>
  </si>
  <si>
    <t>Pioneer Auto Corp</t>
  </si>
  <si>
    <t>Yes (Upsell to Enterprise Suite)</t>
  </si>
  <si>
    <t>ACC008</t>
  </si>
  <si>
    <t>BlueSky Media Hub</t>
  </si>
  <si>
    <t>No (Requires Adoption Intervention)</t>
  </si>
  <si>
    <t>ACC009</t>
  </si>
  <si>
    <t>Sterling Pharma</t>
  </si>
  <si>
    <t>Yes (Cross-sell E-Learning Modules)</t>
  </si>
  <si>
    <t>ACC010</t>
  </si>
  <si>
    <t>Delta EduTech</t>
  </si>
  <si>
    <t>ACC011</t>
  </si>
  <si>
    <t>Metro Infra Solutions</t>
  </si>
  <si>
    <t>Yes (Needs Resume Database Expansion)</t>
  </si>
  <si>
    <t>ACC012</t>
  </si>
  <si>
    <t>Nexus Retail Chain</t>
  </si>
  <si>
    <t>Yes (Multi-Location License)</t>
  </si>
  <si>
    <t>ACC013</t>
  </si>
  <si>
    <t>Hyperion Cloud Systems</t>
  </si>
  <si>
    <t>Yes (Upgrade to Professional Tier)</t>
  </si>
  <si>
    <t>ACC014</t>
  </si>
  <si>
    <t>Zenith Hospitality</t>
  </si>
  <si>
    <t>No (Critical Churn Risk - Urgent Rescue Call)</t>
  </si>
  <si>
    <t>ACC015</t>
  </si>
  <si>
    <t>Omni Global Logistics</t>
  </si>
  <si>
    <t>Yes (Add-on Branding Solutions)</t>
  </si>
  <si>
    <t>Row Labels</t>
  </si>
  <si>
    <t>Grand Total</t>
  </si>
  <si>
    <t>Column Labels</t>
  </si>
  <si>
    <t>Sum of Logins/Week</t>
  </si>
  <si>
    <t>Sum of Jobs Posted/Month</t>
  </si>
  <si>
    <t>Sum of Open Tickets</t>
  </si>
  <si>
    <t>Sum of Health Score</t>
  </si>
  <si>
    <t>Enterprise Total</t>
  </si>
  <si>
    <t>SMB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</si>
</sst>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[HR_SaaS_Customer_Analytics.xlsx]open_tickets!PivotTable3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open_tickets!$B$3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open_tickets!$A$4:$A$19</c:f>
              <c:strCache>
                <c:ptCount val="15"/>
                <c:pt idx="0">
                  <c:v>Apex Retail Solutions</c:v>
                </c:pt>
                <c:pt idx="1">
                  <c:v>BlueSky Media Hub</c:v>
                </c:pt>
                <c:pt idx="2">
                  <c:v>Delta EduTech</c:v>
                </c:pt>
                <c:pt idx="3">
                  <c:v>Global Logistics Ltd</c:v>
                </c:pt>
                <c:pt idx="4">
                  <c:v>Hyperion Cloud Systems</c:v>
                </c:pt>
                <c:pt idx="5">
                  <c:v>Metro Infra Solutions</c:v>
                </c:pt>
                <c:pt idx="6">
                  <c:v>Nexus Retail Chain</c:v>
                </c:pt>
                <c:pt idx="7">
                  <c:v>Nova Health Tech</c:v>
                </c:pt>
                <c:pt idx="8">
                  <c:v>Omni Global Logistics</c:v>
                </c:pt>
                <c:pt idx="9">
                  <c:v>Pioneer Auto Corp</c:v>
                </c:pt>
                <c:pt idx="10">
                  <c:v>Sterling Pharma</c:v>
                </c:pt>
                <c:pt idx="11">
                  <c:v>TechCorp India</c:v>
                </c:pt>
                <c:pt idx="12">
                  <c:v>Vanguard FinTech</c:v>
                </c:pt>
                <c:pt idx="13">
                  <c:v>Zenith Hospitality</c:v>
                </c:pt>
                <c:pt idx="14">
                  <c:v>Zenith IT Services</c:v>
                </c:pt>
              </c:strCache>
            </c:strRef>
          </c:cat>
          <c:val>
            <c:numRef>
              <c:f>open_tickets!$B$4:$B$19</c:f>
              <c:numCache>
                <c:formatCode>General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2-43F3-B5C6-D247D18AE4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8036432"/>
        <c:axId val="1846553744"/>
      </c:barChart>
      <c:catAx>
        <c:axId val="198803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53744"/>
        <c:crosses val="autoZero"/>
        <c:auto val="1"/>
        <c:lblAlgn val="ctr"/>
        <c:lblOffset val="100"/>
        <c:noMultiLvlLbl val="0"/>
      </c:catAx>
      <c:valAx>
        <c:axId val="18465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3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[HR_SaaS_Customer_Analytics.xlsx]login_companytype!PivotTable1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184063214189884E-2"/>
          <c:y val="0.16564596092155148"/>
          <c:w val="0.7412590097800642"/>
          <c:h val="0.47759733158355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login_companytype!$B$3:$B$4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login_companytype!$A$5:$A$20</c:f>
              <c:strCache>
                <c:ptCount val="15"/>
                <c:pt idx="0">
                  <c:v>Apex Retail Solutions</c:v>
                </c:pt>
                <c:pt idx="1">
                  <c:v>BlueSky Media Hub</c:v>
                </c:pt>
                <c:pt idx="2">
                  <c:v>Delta EduTech</c:v>
                </c:pt>
                <c:pt idx="3">
                  <c:v>Global Logistics Ltd</c:v>
                </c:pt>
                <c:pt idx="4">
                  <c:v>Hyperion Cloud Systems</c:v>
                </c:pt>
                <c:pt idx="5">
                  <c:v>Metro Infra Solutions</c:v>
                </c:pt>
                <c:pt idx="6">
                  <c:v>Nexus Retail Chain</c:v>
                </c:pt>
                <c:pt idx="7">
                  <c:v>Nova Health Tech</c:v>
                </c:pt>
                <c:pt idx="8">
                  <c:v>Omni Global Logistics</c:v>
                </c:pt>
                <c:pt idx="9">
                  <c:v>Pioneer Auto Corp</c:v>
                </c:pt>
                <c:pt idx="10">
                  <c:v>Sterling Pharma</c:v>
                </c:pt>
                <c:pt idx="11">
                  <c:v>TechCorp India</c:v>
                </c:pt>
                <c:pt idx="12">
                  <c:v>Vanguard FinTech</c:v>
                </c:pt>
                <c:pt idx="13">
                  <c:v>Zenith Hospitality</c:v>
                </c:pt>
                <c:pt idx="14">
                  <c:v>Zenith IT Services</c:v>
                </c:pt>
              </c:strCache>
            </c:strRef>
          </c:cat>
          <c:val>
            <c:numRef>
              <c:f>login_companytype!$B$5:$B$20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4">
                  <c:v>6</c:v>
                </c:pt>
                <c:pt idx="5">
                  <c:v>2</c:v>
                </c:pt>
                <c:pt idx="7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360-BBBA-BFBED28034AE}"/>
            </c:ext>
          </c:extLst>
        </c:ser>
        <c:ser>
          <c:idx val="1"/>
          <c:order val="1"/>
          <c:tx>
            <c:strRef>
              <c:f>login_companytype!$C$3:$C$4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login_companytype!$A$5:$A$20</c:f>
              <c:strCache>
                <c:ptCount val="15"/>
                <c:pt idx="0">
                  <c:v>Apex Retail Solutions</c:v>
                </c:pt>
                <c:pt idx="1">
                  <c:v>BlueSky Media Hub</c:v>
                </c:pt>
                <c:pt idx="2">
                  <c:v>Delta EduTech</c:v>
                </c:pt>
                <c:pt idx="3">
                  <c:v>Global Logistics Ltd</c:v>
                </c:pt>
                <c:pt idx="4">
                  <c:v>Hyperion Cloud Systems</c:v>
                </c:pt>
                <c:pt idx="5">
                  <c:v>Metro Infra Solutions</c:v>
                </c:pt>
                <c:pt idx="6">
                  <c:v>Nexus Retail Chain</c:v>
                </c:pt>
                <c:pt idx="7">
                  <c:v>Nova Health Tech</c:v>
                </c:pt>
                <c:pt idx="8">
                  <c:v>Omni Global Logistics</c:v>
                </c:pt>
                <c:pt idx="9">
                  <c:v>Pioneer Auto Corp</c:v>
                </c:pt>
                <c:pt idx="10">
                  <c:v>Sterling Pharma</c:v>
                </c:pt>
                <c:pt idx="11">
                  <c:v>TechCorp India</c:v>
                </c:pt>
                <c:pt idx="12">
                  <c:v>Vanguard FinTech</c:v>
                </c:pt>
                <c:pt idx="13">
                  <c:v>Zenith Hospitality</c:v>
                </c:pt>
                <c:pt idx="14">
                  <c:v>Zenith IT Services</c:v>
                </c:pt>
              </c:strCache>
            </c:strRef>
          </c:cat>
          <c:val>
            <c:numRef>
              <c:f>login_companytype!$C$5:$C$20</c:f>
              <c:numCache>
                <c:formatCode>General</c:formatCode>
                <c:ptCount val="15"/>
                <c:pt idx="8">
                  <c:v>28</c:v>
                </c:pt>
                <c:pt idx="10">
                  <c:v>19</c:v>
                </c:pt>
                <c:pt idx="1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360-BBBA-BFBED28034AE}"/>
            </c:ext>
          </c:extLst>
        </c:ser>
        <c:ser>
          <c:idx val="2"/>
          <c:order val="2"/>
          <c:tx>
            <c:strRef>
              <c:f>login_companytype!$D$3:$D$4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login_companytype!$A$5:$A$20</c:f>
              <c:strCache>
                <c:ptCount val="15"/>
                <c:pt idx="0">
                  <c:v>Apex Retail Solutions</c:v>
                </c:pt>
                <c:pt idx="1">
                  <c:v>BlueSky Media Hub</c:v>
                </c:pt>
                <c:pt idx="2">
                  <c:v>Delta EduTech</c:v>
                </c:pt>
                <c:pt idx="3">
                  <c:v>Global Logistics Ltd</c:v>
                </c:pt>
                <c:pt idx="4">
                  <c:v>Hyperion Cloud Systems</c:v>
                </c:pt>
                <c:pt idx="5">
                  <c:v>Metro Infra Solutions</c:v>
                </c:pt>
                <c:pt idx="6">
                  <c:v>Nexus Retail Chain</c:v>
                </c:pt>
                <c:pt idx="7">
                  <c:v>Nova Health Tech</c:v>
                </c:pt>
                <c:pt idx="8">
                  <c:v>Omni Global Logistics</c:v>
                </c:pt>
                <c:pt idx="9">
                  <c:v>Pioneer Auto Corp</c:v>
                </c:pt>
                <c:pt idx="10">
                  <c:v>Sterling Pharma</c:v>
                </c:pt>
                <c:pt idx="11">
                  <c:v>TechCorp India</c:v>
                </c:pt>
                <c:pt idx="12">
                  <c:v>Vanguard FinTech</c:v>
                </c:pt>
                <c:pt idx="13">
                  <c:v>Zenith Hospitality</c:v>
                </c:pt>
                <c:pt idx="14">
                  <c:v>Zenith IT Services</c:v>
                </c:pt>
              </c:strCache>
            </c:strRef>
          </c:cat>
          <c:val>
            <c:numRef>
              <c:f>login_companytype!$D$5:$D$20</c:f>
              <c:numCache>
                <c:formatCode>General</c:formatCode>
                <c:ptCount val="15"/>
                <c:pt idx="3">
                  <c:v>18</c:v>
                </c:pt>
                <c:pt idx="6">
                  <c:v>24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360-BBBA-BFBED2803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4654256"/>
        <c:axId val="1846647344"/>
      </c:barChart>
      <c:catAx>
        <c:axId val="193465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47344"/>
        <c:crosses val="autoZero"/>
        <c:auto val="1"/>
        <c:lblAlgn val="ctr"/>
        <c:lblOffset val="100"/>
        <c:noMultiLvlLbl val="0"/>
      </c:catAx>
      <c:valAx>
        <c:axId val="18466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5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[HR_SaaS_Customer_Analytics.xlsx]health_score!PivotTable4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health_score!$B$3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health_score!$A$4:$A$19</c:f>
              <c:strCache>
                <c:ptCount val="15"/>
                <c:pt idx="0">
                  <c:v>Apex Retail Solutions</c:v>
                </c:pt>
                <c:pt idx="1">
                  <c:v>BlueSky Media Hub</c:v>
                </c:pt>
                <c:pt idx="2">
                  <c:v>Delta EduTech</c:v>
                </c:pt>
                <c:pt idx="3">
                  <c:v>Global Logistics Ltd</c:v>
                </c:pt>
                <c:pt idx="4">
                  <c:v>Hyperion Cloud Systems</c:v>
                </c:pt>
                <c:pt idx="5">
                  <c:v>Metro Infra Solutions</c:v>
                </c:pt>
                <c:pt idx="6">
                  <c:v>Nexus Retail Chain</c:v>
                </c:pt>
                <c:pt idx="7">
                  <c:v>Nova Health Tech</c:v>
                </c:pt>
                <c:pt idx="8">
                  <c:v>Omni Global Logistics</c:v>
                </c:pt>
                <c:pt idx="9">
                  <c:v>Pioneer Auto Corp</c:v>
                </c:pt>
                <c:pt idx="10">
                  <c:v>Sterling Pharma</c:v>
                </c:pt>
                <c:pt idx="11">
                  <c:v>TechCorp India</c:v>
                </c:pt>
                <c:pt idx="12">
                  <c:v>Vanguard FinTech</c:v>
                </c:pt>
                <c:pt idx="13">
                  <c:v>Zenith Hospitality</c:v>
                </c:pt>
                <c:pt idx="14">
                  <c:v>Zenith IT Services</c:v>
                </c:pt>
              </c:strCache>
            </c:strRef>
          </c:cat>
          <c:val>
            <c:numRef>
              <c:f>health_score!$B$4:$B$19</c:f>
              <c:numCache>
                <c:formatCode>General</c:formatCode>
                <c:ptCount val="15"/>
                <c:pt idx="0">
                  <c:v>30</c:v>
                </c:pt>
                <c:pt idx="1">
                  <c:v>38</c:v>
                </c:pt>
                <c:pt idx="2">
                  <c:v>70</c:v>
                </c:pt>
                <c:pt idx="3">
                  <c:v>92</c:v>
                </c:pt>
                <c:pt idx="4">
                  <c:v>78</c:v>
                </c:pt>
                <c:pt idx="5">
                  <c:v>42</c:v>
                </c:pt>
                <c:pt idx="6">
                  <c:v>90</c:v>
                </c:pt>
                <c:pt idx="7">
                  <c:v>75</c:v>
                </c:pt>
                <c:pt idx="8">
                  <c:v>94</c:v>
                </c:pt>
                <c:pt idx="9">
                  <c:v>95</c:v>
                </c:pt>
                <c:pt idx="10">
                  <c:v>82</c:v>
                </c:pt>
                <c:pt idx="11">
                  <c:v>45</c:v>
                </c:pt>
                <c:pt idx="12">
                  <c:v>55</c:v>
                </c:pt>
                <c:pt idx="13">
                  <c:v>25</c:v>
                </c:pt>
                <c:pt idx="1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8-4CA9-9EA7-DABE33975B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09888416"/>
        <c:axId val="1846651184"/>
      </c:areaChart>
      <c:catAx>
        <c:axId val="20098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51184"/>
        <c:crosses val="autoZero"/>
        <c:auto val="1"/>
        <c:lblAlgn val="ctr"/>
        <c:lblOffset val="100"/>
        <c:noMultiLvlLbl val="0"/>
      </c:catAx>
      <c:valAx>
        <c:axId val="1846651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988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[HR_SaaS_Customer_Analytics.xlsx]jobs_posted!PivotTable2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jobs_posted!$B$3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jobs_posted!$A$4:$A$19</c:f>
              <c:strCache>
                <c:ptCount val="15"/>
                <c:pt idx="0">
                  <c:v>Apex Retail Solutions</c:v>
                </c:pt>
                <c:pt idx="1">
                  <c:v>BlueSky Media Hub</c:v>
                </c:pt>
                <c:pt idx="2">
                  <c:v>Delta EduTech</c:v>
                </c:pt>
                <c:pt idx="3">
                  <c:v>Global Logistics Ltd</c:v>
                </c:pt>
                <c:pt idx="4">
                  <c:v>Hyperion Cloud Systems</c:v>
                </c:pt>
                <c:pt idx="5">
                  <c:v>Metro Infra Solutions</c:v>
                </c:pt>
                <c:pt idx="6">
                  <c:v>Nexus Retail Chain</c:v>
                </c:pt>
                <c:pt idx="7">
                  <c:v>Nova Health Tech</c:v>
                </c:pt>
                <c:pt idx="8">
                  <c:v>Omni Global Logistics</c:v>
                </c:pt>
                <c:pt idx="9">
                  <c:v>Pioneer Auto Corp</c:v>
                </c:pt>
                <c:pt idx="10">
                  <c:v>Sterling Pharma</c:v>
                </c:pt>
                <c:pt idx="11">
                  <c:v>TechCorp India</c:v>
                </c:pt>
                <c:pt idx="12">
                  <c:v>Vanguard FinTech</c:v>
                </c:pt>
                <c:pt idx="13">
                  <c:v>Zenith Hospitality</c:v>
                </c:pt>
                <c:pt idx="14">
                  <c:v>Zenith IT Services</c:v>
                </c:pt>
              </c:strCache>
            </c:strRef>
          </c:cat>
          <c:val>
            <c:numRef>
              <c:f>jobs_posted!$B$4:$B$19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12</c:v>
                </c:pt>
                <c:pt idx="4">
                  <c:v>4</c:v>
                </c:pt>
                <c:pt idx="5">
                  <c:v>0</c:v>
                </c:pt>
                <c:pt idx="6">
                  <c:v>18</c:v>
                </c:pt>
                <c:pt idx="7">
                  <c:v>3</c:v>
                </c:pt>
                <c:pt idx="8">
                  <c:v>22</c:v>
                </c:pt>
                <c:pt idx="9">
                  <c:v>15</c:v>
                </c:pt>
                <c:pt idx="10">
                  <c:v>14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2-4B93-84E5-79B2DDCD73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934660752"/>
        <c:axId val="1846627184"/>
      </c:barChart>
      <c:catAx>
        <c:axId val="193466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27184"/>
        <c:crosses val="autoZero"/>
        <c:auto val="1"/>
        <c:lblAlgn val="ctr"/>
        <c:lblOffset val="100"/>
        <c:noMultiLvlLbl val="0"/>
      </c:catAx>
      <c:valAx>
        <c:axId val="18466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6075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[HR_SaaS_Customer_Analytics.xlsx]churn_risk!PivotTable5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churn_risk!$B$3:$B$5</c:f>
              <c:strCache>
                <c:ptCount val="1"/>
                <c:pt idx="0">
                  <c:v>Enterprise - Enterprise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churn_risk!$A$6:$A$9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churn_risk!$B$6:$B$9</c:f>
              <c:numCache>
                <c:formatCode>General</c:formatCode>
                <c:ptCount val="3"/>
                <c:pt idx="1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9-43FD-8D9F-52382750334D}"/>
            </c:ext>
          </c:extLst>
        </c:ser>
        <c:ser>
          <c:idx val="1"/>
          <c:order val="1"/>
          <c:tx>
            <c:strRef>
              <c:f>churn_risk!$C$3:$C$5</c:f>
              <c:strCache>
                <c:ptCount val="1"/>
                <c:pt idx="0">
                  <c:v>Enterprise - 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churn_risk!$A$6:$A$9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churn_risk!$C$6:$C$9</c:f>
              <c:numCache>
                <c:formatCode>General</c:formatCode>
                <c:ptCount val="3"/>
                <c:pt idx="1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9-43FD-8D9F-52382750334D}"/>
            </c:ext>
          </c:extLst>
        </c:ser>
        <c:ser>
          <c:idx val="2"/>
          <c:order val="2"/>
          <c:tx>
            <c:strRef>
              <c:f>churn_risk!$E$3:$E$5</c:f>
              <c:strCache>
                <c:ptCount val="1"/>
                <c:pt idx="0">
                  <c:v>SMB - Basic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churn_risk!$A$6:$A$9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churn_risk!$E$6:$E$9</c:f>
              <c:numCache>
                <c:formatCode>General</c:formatCode>
                <c:ptCount val="3"/>
                <c:pt idx="0">
                  <c:v>180</c:v>
                </c:pt>
                <c:pt idx="2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99-43FD-8D9F-5238275033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080842128"/>
        <c:axId val="1846729904"/>
      </c:barChart>
      <c:catAx>
        <c:axId val="208084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29904"/>
        <c:crosses val="autoZero"/>
        <c:auto val="1"/>
        <c:lblAlgn val="ctr"/>
        <c:lblOffset val="100"/>
        <c:noMultiLvlLbl val="0"/>
      </c:catAx>
      <c:valAx>
        <c:axId val="18467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</xdr:row>
      <xdr:rowOff>125730</xdr:rowOff>
    </xdr:from>
    <xdr:to>
      <xdr:col>10</xdr:col>
      <xdr:colOff>358140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40EBE-23D9-0A3F-D979-CA696D035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2</xdr:row>
      <xdr:rowOff>0</xdr:rowOff>
    </xdr:from>
    <xdr:to>
      <xdr:col>9</xdr:col>
      <xdr:colOff>464820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38FA0-CCE6-7895-0376-33B4CA811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11430</xdr:rowOff>
    </xdr:from>
    <xdr:to>
      <xdr:col>10</xdr:col>
      <xdr:colOff>411480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5E528-0421-8255-F9D9-FFBFC0255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163830</xdr:rowOff>
    </xdr:from>
    <xdr:to>
      <xdr:col>10</xdr:col>
      <xdr:colOff>251460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1AD44-E254-02C9-786C-F8F01C7F3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0</xdr:row>
      <xdr:rowOff>80010</xdr:rowOff>
    </xdr:from>
    <xdr:to>
      <xdr:col>15</xdr:col>
      <xdr:colOff>68580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17517-E2CC-A86A-C24A-A5A277FD0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S JHANAVI" refreshedDate="46255.625002083332" createdVersion="8" refreshedVersion="8" minRefreshableVersion="3" recordCount="15" xr:uid="{280C417F-AC6A-4224-9866-AB18F31BA868}">
  <cacheSource type="worksheet">
    <worksheetSource name="Table1"/>
  </cacheSource>
  <cacheFields count="10">
    <cacheField name="Account ID" numFmtId="0">
      <sharedItems/>
    </cacheField>
    <cacheField name="Company Name" numFmtId="0">
      <sharedItems count="15">
        <s v="TechCorp India"/>
        <s v="Global Logistics Ltd"/>
        <s v="Apex Retail Solutions"/>
        <s v="Zenith IT Services"/>
        <s v="Nova Health Tech"/>
        <s v="Vanguard FinTech"/>
        <s v="Pioneer Auto Corp"/>
        <s v="BlueSky Media Hub"/>
        <s v="Sterling Pharma"/>
        <s v="Delta EduTech"/>
        <s v="Metro Infra Solutions"/>
        <s v="Nexus Retail Chain"/>
        <s v="Hyperion Cloud Systems"/>
        <s v="Zenith Hospitality"/>
        <s v="Omni Global Logistics"/>
      </sharedItems>
    </cacheField>
    <cacheField name="Account Type" numFmtId="0">
      <sharedItems count="2">
        <s v="SMB"/>
        <s v="Enterprise"/>
      </sharedItems>
    </cacheField>
    <cacheField name="Contract Plan" numFmtId="0">
      <sharedItems count="3">
        <s v="Basic"/>
        <s v="Premium"/>
        <s v="Enterprise"/>
      </sharedItems>
    </cacheField>
    <cacheField name="Logins/Week" numFmtId="0">
      <sharedItems containsSemiMixedTypes="0" containsString="0" containsNumber="1" containsInteger="1" minValue="1" maxValue="28"/>
    </cacheField>
    <cacheField name="Jobs Posted/Month" numFmtId="0">
      <sharedItems containsSemiMixedTypes="0" containsString="0" containsNumber="1" containsInteger="1" minValue="0" maxValue="22"/>
    </cacheField>
    <cacheField name="Open Tickets" numFmtId="0">
      <sharedItems containsSemiMixedTypes="0" containsString="0" containsNumber="1" containsInteger="1" minValue="0" maxValue="5"/>
    </cacheField>
    <cacheField name="Health Score" numFmtId="0">
      <sharedItems containsSemiMixedTypes="0" containsString="0" containsNumber="1" containsInteger="1" minValue="25" maxValue="95"/>
    </cacheField>
    <cacheField name="Churn Risk" numFmtId="0">
      <sharedItems count="3">
        <s v="High"/>
        <s v="Low"/>
        <s v="Medium"/>
      </sharedItems>
    </cacheField>
    <cacheField name="Upsell Opportunity" numFmtId="0">
      <sharedItems count="13">
        <s v="Yes (Needs Unlimited Sourcing)"/>
        <s v="No"/>
        <s v="Yes (Needs Resume Filtering Add-on)"/>
        <s v="Yes (Expands to Multi-City License)"/>
        <s v="Yes (Needs Automated Assessments)"/>
        <s v="Yes (Upsell to Enterprise Suite)"/>
        <s v="No (Requires Adoption Intervention)"/>
        <s v="Yes (Cross-sell E-Learning Modules)"/>
        <s v="Yes (Needs Resume Database Expansion)"/>
        <s v="Yes (Multi-Location License)"/>
        <s v="Yes (Upgrade to Professional Tier)"/>
        <s v="No (Critical Churn Risk - Urgent Rescue Call)"/>
        <s v="Yes (Add-on Branding Solution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ACC001"/>
    <x v="0"/>
    <x v="0"/>
    <x v="0"/>
    <n v="2"/>
    <n v="1"/>
    <n v="3"/>
    <n v="45"/>
    <x v="0"/>
    <x v="0"/>
  </r>
  <r>
    <s v="ACC002"/>
    <x v="1"/>
    <x v="1"/>
    <x v="1"/>
    <n v="18"/>
    <n v="12"/>
    <n v="0"/>
    <n v="92"/>
    <x v="1"/>
    <x v="1"/>
  </r>
  <r>
    <s v="ACC003"/>
    <x v="2"/>
    <x v="0"/>
    <x v="0"/>
    <n v="1"/>
    <n v="0"/>
    <n v="2"/>
    <n v="30"/>
    <x v="0"/>
    <x v="2"/>
  </r>
  <r>
    <s v="ACC004"/>
    <x v="3"/>
    <x v="1"/>
    <x v="2"/>
    <n v="25"/>
    <n v="20"/>
    <n v="1"/>
    <n v="88"/>
    <x v="1"/>
    <x v="3"/>
  </r>
  <r>
    <s v="ACC005"/>
    <x v="4"/>
    <x v="0"/>
    <x v="0"/>
    <n v="5"/>
    <n v="3"/>
    <n v="0"/>
    <n v="75"/>
    <x v="2"/>
    <x v="1"/>
  </r>
  <r>
    <s v="ACC006"/>
    <x v="5"/>
    <x v="0"/>
    <x v="0"/>
    <n v="3"/>
    <n v="2"/>
    <n v="2"/>
    <n v="55"/>
    <x v="2"/>
    <x v="4"/>
  </r>
  <r>
    <s v="ACC007"/>
    <x v="6"/>
    <x v="1"/>
    <x v="1"/>
    <n v="22"/>
    <n v="15"/>
    <n v="0"/>
    <n v="95"/>
    <x v="1"/>
    <x v="5"/>
  </r>
  <r>
    <s v="ACC008"/>
    <x v="7"/>
    <x v="0"/>
    <x v="0"/>
    <n v="1"/>
    <n v="1"/>
    <n v="4"/>
    <n v="38"/>
    <x v="0"/>
    <x v="6"/>
  </r>
  <r>
    <s v="ACC009"/>
    <x v="8"/>
    <x v="1"/>
    <x v="2"/>
    <n v="19"/>
    <n v="14"/>
    <n v="2"/>
    <n v="82"/>
    <x v="1"/>
    <x v="7"/>
  </r>
  <r>
    <s v="ACC010"/>
    <x v="9"/>
    <x v="0"/>
    <x v="0"/>
    <n v="4"/>
    <n v="3"/>
    <n v="1"/>
    <n v="70"/>
    <x v="2"/>
    <x v="1"/>
  </r>
  <r>
    <s v="ACC011"/>
    <x v="10"/>
    <x v="0"/>
    <x v="0"/>
    <n v="2"/>
    <n v="0"/>
    <n v="3"/>
    <n v="42"/>
    <x v="0"/>
    <x v="8"/>
  </r>
  <r>
    <s v="ACC012"/>
    <x v="11"/>
    <x v="1"/>
    <x v="1"/>
    <n v="24"/>
    <n v="18"/>
    <n v="0"/>
    <n v="90"/>
    <x v="1"/>
    <x v="9"/>
  </r>
  <r>
    <s v="ACC013"/>
    <x v="12"/>
    <x v="0"/>
    <x v="0"/>
    <n v="6"/>
    <n v="4"/>
    <n v="0"/>
    <n v="78"/>
    <x v="2"/>
    <x v="10"/>
  </r>
  <r>
    <s v="ACC014"/>
    <x v="13"/>
    <x v="0"/>
    <x v="0"/>
    <n v="1"/>
    <n v="0"/>
    <n v="5"/>
    <n v="25"/>
    <x v="0"/>
    <x v="11"/>
  </r>
  <r>
    <s v="ACC015"/>
    <x v="14"/>
    <x v="1"/>
    <x v="2"/>
    <n v="28"/>
    <n v="22"/>
    <n v="1"/>
    <n v="94"/>
    <x v="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5A316-15C5-4B8E-A101-3717C30416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9" firstHeaderRow="1" firstDataRow="1" firstDataCol="1"/>
  <pivotFields count="10">
    <pivotField showAll="0"/>
    <pivotField axis="axisRow" showAll="0">
      <items count="16">
        <item x="2"/>
        <item x="7"/>
        <item x="9"/>
        <item x="1"/>
        <item x="12"/>
        <item x="10"/>
        <item x="11"/>
        <item x="4"/>
        <item x="14"/>
        <item x="6"/>
        <item x="8"/>
        <item x="0"/>
        <item x="5"/>
        <item x="13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Open Ticket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2FD95-1B9C-41BE-90A1-8C216A4DFE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20" firstHeaderRow="1" firstDataRow="2" firstDataCol="1"/>
  <pivotFields count="10">
    <pivotField showAll="0"/>
    <pivotField axis="axisRow" showAll="0">
      <items count="16">
        <item x="2"/>
        <item x="7"/>
        <item x="9"/>
        <item x="1"/>
        <item x="12"/>
        <item x="10"/>
        <item x="11"/>
        <item x="4"/>
        <item x="14"/>
        <item x="6"/>
        <item x="8"/>
        <item x="0"/>
        <item x="5"/>
        <item x="13"/>
        <item x="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Logins/Week" fld="4" baseField="0" baseItem="0"/>
  </dataFields>
  <chartFormats count="6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1ABAE-477A-4552-90E3-EC04EBA4CE5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9" firstHeaderRow="1" firstDataRow="1" firstDataCol="1"/>
  <pivotFields count="10">
    <pivotField showAll="0"/>
    <pivotField axis="axisRow" showAll="0">
      <items count="16">
        <item x="2"/>
        <item x="7"/>
        <item x="9"/>
        <item x="1"/>
        <item x="12"/>
        <item x="10"/>
        <item x="11"/>
        <item x="4"/>
        <item x="14"/>
        <item x="6"/>
        <item x="8"/>
        <item x="0"/>
        <item x="5"/>
        <item x="13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Health Score" fld="7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54E2-C7C2-433F-952A-D44AD18F6F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9" firstHeaderRow="1" firstDataRow="1" firstDataCol="1"/>
  <pivotFields count="10">
    <pivotField showAll="0"/>
    <pivotField axis="axisRow" showAll="0">
      <items count="16">
        <item x="2"/>
        <item x="7"/>
        <item x="9"/>
        <item x="1"/>
        <item x="12"/>
        <item x="10"/>
        <item x="11"/>
        <item x="4"/>
        <item x="14"/>
        <item x="6"/>
        <item x="8"/>
        <item x="0"/>
        <item x="5"/>
        <item x="13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Jobs Posted/Month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11977-66A1-4945-BC66-671C3297AC0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9" firstHeaderRow="1" firstDataRow="3" firstDataCol="1"/>
  <pivotFields count="10">
    <pivotField showAll="0"/>
    <pivotField showAll="0">
      <items count="16">
        <item x="2"/>
        <item x="7"/>
        <item x="9"/>
        <item x="1"/>
        <item x="12"/>
        <item x="10"/>
        <item x="11"/>
        <item x="4"/>
        <item x="14"/>
        <item x="6"/>
        <item x="8"/>
        <item x="0"/>
        <item x="5"/>
        <item x="13"/>
        <item x="3"/>
        <item t="default"/>
      </items>
    </pivotField>
    <pivotField axis="axisCol" showAll="0">
      <items count="3">
        <item x="1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2"/>
    <field x="3"/>
  </colFields>
  <colItems count="6">
    <i>
      <x/>
      <x v="1"/>
    </i>
    <i r="1">
      <x v="2"/>
    </i>
    <i t="default">
      <x/>
    </i>
    <i>
      <x v="1"/>
      <x/>
    </i>
    <i t="default">
      <x v="1"/>
    </i>
    <i t="grand">
      <x/>
    </i>
  </colItems>
  <dataFields count="1">
    <dataField name="Sum of Health Score" fld="7" baseField="0" baseItem="0"/>
  </dataFields>
  <chartFormats count="5"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3ACD8-F65F-45BF-B81F-D3896CAAC4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34" firstHeaderRow="1" firstDataRow="1" firstDataCol="1"/>
  <pivotFields count="10">
    <pivotField showAll="0"/>
    <pivotField axis="axisRow" showAll="0">
      <items count="16">
        <item x="2"/>
        <item x="7"/>
        <item x="9"/>
        <item x="1"/>
        <item x="12"/>
        <item x="10"/>
        <item x="11"/>
        <item x="4"/>
        <item x="14"/>
        <item x="6"/>
        <item x="8"/>
        <item x="0"/>
        <item x="5"/>
        <item x="13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"/>
        <item x="11"/>
        <item x="6"/>
        <item x="12"/>
        <item x="7"/>
        <item x="3"/>
        <item x="9"/>
        <item x="4"/>
        <item x="8"/>
        <item x="2"/>
        <item x="0"/>
        <item x="10"/>
        <item x="5"/>
        <item t="default"/>
      </items>
    </pivotField>
  </pivotFields>
  <rowFields count="2">
    <field x="1"/>
    <field x="9"/>
  </rowFields>
  <rowItems count="31">
    <i>
      <x/>
    </i>
    <i r="1">
      <x v="9"/>
    </i>
    <i>
      <x v="1"/>
    </i>
    <i r="1">
      <x v="2"/>
    </i>
    <i>
      <x v="2"/>
    </i>
    <i r="1">
      <x/>
    </i>
    <i>
      <x v="3"/>
    </i>
    <i r="1">
      <x/>
    </i>
    <i>
      <x v="4"/>
    </i>
    <i r="1">
      <x v="11"/>
    </i>
    <i>
      <x v="5"/>
    </i>
    <i r="1">
      <x v="8"/>
    </i>
    <i>
      <x v="6"/>
    </i>
    <i r="1">
      <x v="6"/>
    </i>
    <i>
      <x v="7"/>
    </i>
    <i r="1">
      <x/>
    </i>
    <i>
      <x v="8"/>
    </i>
    <i r="1">
      <x v="3"/>
    </i>
    <i>
      <x v="9"/>
    </i>
    <i r="1">
      <x v="12"/>
    </i>
    <i>
      <x v="10"/>
    </i>
    <i r="1">
      <x v="4"/>
    </i>
    <i>
      <x v="11"/>
    </i>
    <i r="1">
      <x v="10"/>
    </i>
    <i>
      <x v="12"/>
    </i>
    <i r="1">
      <x v="7"/>
    </i>
    <i>
      <x v="13"/>
    </i>
    <i r="1">
      <x v="1"/>
    </i>
    <i>
      <x v="14"/>
    </i>
    <i r="1">
      <x v="5"/>
    </i>
    <i t="grand">
      <x/>
    </i>
  </rowItems>
  <colItems count="1">
    <i/>
  </colItem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107D3-8E0A-455D-BBF3-BF09391A6601}" name="Table1" displayName="Table1" ref="A1:J16" totalsRowShown="0" headerRowDxfId="14" dataDxfId="12" headerRowBorderDxfId="13" tableBorderDxfId="11" totalsRowBorderDxfId="10">
  <autoFilter ref="A1:J16" xr:uid="{91D107D3-8E0A-455D-BBF3-BF09391A6601}"/>
  <tableColumns count="10">
    <tableColumn id="1" xr3:uid="{E47CDB0F-B1BC-4C66-A83A-97248B192549}" name="Account ID" dataDxfId="9"/>
    <tableColumn id="2" xr3:uid="{5A53B98D-3063-463C-98D9-5ED430EE92B2}" name="Company Name" dataDxfId="8"/>
    <tableColumn id="3" xr3:uid="{87542B02-5960-4E4A-A34F-301666ABB793}" name="Account Type" dataDxfId="7"/>
    <tableColumn id="4" xr3:uid="{FD10AEC3-16D0-4146-B230-C6189239878A}" name="Contract Plan" dataDxfId="6"/>
    <tableColumn id="5" xr3:uid="{0AB2FE35-EF91-4B09-A3CA-4FC3BB6B380A}" name="Logins/Week" dataDxfId="5"/>
    <tableColumn id="6" xr3:uid="{944F0A0F-629C-4A27-9698-3EDAB97922BC}" name="Jobs Posted/Month" dataDxfId="4"/>
    <tableColumn id="7" xr3:uid="{FD92BE4B-BFE1-415D-99D6-3E9936AFD1E5}" name="Open Tickets" dataDxfId="3"/>
    <tableColumn id="8" xr3:uid="{E4DAA048-DF62-432E-B7C7-EC08267C2C9C}" name="Health Score" dataDxfId="2"/>
    <tableColumn id="9" xr3:uid="{8CC686E2-854F-483D-82B2-D2071FF0FB6C}" name="Churn Risk" dataDxfId="1"/>
    <tableColumn id="10" xr3:uid="{A4F1D7CE-EFC2-4E71-AF9B-F44F5793AC75}" name="Upsell Opportunity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B765-87F7-46AB-B258-BC66313A0C10}">
  <dimension ref="A1:J16"/>
  <sheetViews>
    <sheetView tabSelected="1" workbookViewId="0">
      <selection sqref="A1:L16"/>
    </sheetView>
  </sheetViews>
  <sheetFormatPr defaultRowHeight="14.4" x14ac:dyDescent="0.3"/>
  <cols>
    <col min="1" max="1" width="19.109375" customWidth="1"/>
    <col min="2" max="2" width="30" customWidth="1"/>
    <col min="3" max="3" width="17.33203125" customWidth="1"/>
    <col min="4" max="4" width="16.88671875" customWidth="1"/>
    <col min="5" max="5" width="16.44140625" customWidth="1"/>
    <col min="6" max="6" width="22.44140625" customWidth="1"/>
    <col min="7" max="7" width="16.6640625" customWidth="1"/>
    <col min="8" max="8" width="16.33203125" customWidth="1"/>
    <col min="9" max="9" width="14.5546875" customWidth="1"/>
    <col min="10" max="10" width="22.109375" customWidth="1"/>
  </cols>
  <sheetData>
    <row r="1" spans="1:10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ht="15" thickBot="1" x14ac:dyDescent="0.35">
      <c r="A2" s="2" t="s">
        <v>10</v>
      </c>
      <c r="B2" s="1" t="s">
        <v>11</v>
      </c>
      <c r="C2" s="1" t="s">
        <v>12</v>
      </c>
      <c r="D2" s="1" t="s">
        <v>13</v>
      </c>
      <c r="E2" s="1">
        <v>2</v>
      </c>
      <c r="F2" s="1">
        <v>1</v>
      </c>
      <c r="G2" s="1">
        <v>3</v>
      </c>
      <c r="H2" s="1">
        <v>45</v>
      </c>
      <c r="I2" s="1" t="s">
        <v>14</v>
      </c>
      <c r="J2" s="3" t="s">
        <v>15</v>
      </c>
    </row>
    <row r="3" spans="1:10" ht="15" thickBot="1" x14ac:dyDescent="0.35">
      <c r="A3" s="2" t="s">
        <v>16</v>
      </c>
      <c r="B3" s="1" t="s">
        <v>17</v>
      </c>
      <c r="C3" s="1" t="s">
        <v>18</v>
      </c>
      <c r="D3" s="1" t="s">
        <v>19</v>
      </c>
      <c r="E3" s="1">
        <v>18</v>
      </c>
      <c r="F3" s="1">
        <v>12</v>
      </c>
      <c r="G3" s="1">
        <v>0</v>
      </c>
      <c r="H3" s="1">
        <v>92</v>
      </c>
      <c r="I3" s="1" t="s">
        <v>20</v>
      </c>
      <c r="J3" s="3" t="s">
        <v>21</v>
      </c>
    </row>
    <row r="4" spans="1:10" ht="15" thickBot="1" x14ac:dyDescent="0.35">
      <c r="A4" s="2" t="s">
        <v>22</v>
      </c>
      <c r="B4" s="1" t="s">
        <v>23</v>
      </c>
      <c r="C4" s="1" t="s">
        <v>12</v>
      </c>
      <c r="D4" s="1" t="s">
        <v>13</v>
      </c>
      <c r="E4" s="1">
        <v>1</v>
      </c>
      <c r="F4" s="1">
        <v>0</v>
      </c>
      <c r="G4" s="1">
        <v>2</v>
      </c>
      <c r="H4" s="1">
        <v>30</v>
      </c>
      <c r="I4" s="1" t="s">
        <v>14</v>
      </c>
      <c r="J4" s="3" t="s">
        <v>24</v>
      </c>
    </row>
    <row r="5" spans="1:10" ht="15" thickBot="1" x14ac:dyDescent="0.35">
      <c r="A5" s="2" t="s">
        <v>25</v>
      </c>
      <c r="B5" s="1" t="s">
        <v>26</v>
      </c>
      <c r="C5" s="1" t="s">
        <v>18</v>
      </c>
      <c r="D5" s="1" t="s">
        <v>18</v>
      </c>
      <c r="E5" s="1">
        <v>25</v>
      </c>
      <c r="F5" s="1">
        <v>20</v>
      </c>
      <c r="G5" s="1">
        <v>1</v>
      </c>
      <c r="H5" s="1">
        <v>88</v>
      </c>
      <c r="I5" s="1" t="s">
        <v>20</v>
      </c>
      <c r="J5" s="3" t="s">
        <v>27</v>
      </c>
    </row>
    <row r="6" spans="1:10" ht="15" thickBot="1" x14ac:dyDescent="0.35">
      <c r="A6" s="2" t="s">
        <v>28</v>
      </c>
      <c r="B6" s="1" t="s">
        <v>29</v>
      </c>
      <c r="C6" s="1" t="s">
        <v>12</v>
      </c>
      <c r="D6" s="1" t="s">
        <v>13</v>
      </c>
      <c r="E6" s="1">
        <v>5</v>
      </c>
      <c r="F6" s="1">
        <v>3</v>
      </c>
      <c r="G6" s="1">
        <v>0</v>
      </c>
      <c r="H6" s="1">
        <v>75</v>
      </c>
      <c r="I6" s="1" t="s">
        <v>30</v>
      </c>
      <c r="J6" s="3" t="s">
        <v>21</v>
      </c>
    </row>
    <row r="7" spans="1:10" ht="15" thickBot="1" x14ac:dyDescent="0.35">
      <c r="A7" s="2" t="s">
        <v>31</v>
      </c>
      <c r="B7" s="1" t="s">
        <v>32</v>
      </c>
      <c r="C7" s="1" t="s">
        <v>12</v>
      </c>
      <c r="D7" s="1" t="s">
        <v>13</v>
      </c>
      <c r="E7" s="1">
        <v>3</v>
      </c>
      <c r="F7" s="1">
        <v>2</v>
      </c>
      <c r="G7" s="1">
        <v>2</v>
      </c>
      <c r="H7" s="1">
        <v>55</v>
      </c>
      <c r="I7" s="1" t="s">
        <v>30</v>
      </c>
      <c r="J7" s="3" t="s">
        <v>33</v>
      </c>
    </row>
    <row r="8" spans="1:10" ht="15" thickBot="1" x14ac:dyDescent="0.35">
      <c r="A8" s="2" t="s">
        <v>34</v>
      </c>
      <c r="B8" s="1" t="s">
        <v>35</v>
      </c>
      <c r="C8" s="1" t="s">
        <v>18</v>
      </c>
      <c r="D8" s="1" t="s">
        <v>19</v>
      </c>
      <c r="E8" s="1">
        <v>22</v>
      </c>
      <c r="F8" s="1">
        <v>15</v>
      </c>
      <c r="G8" s="1">
        <v>0</v>
      </c>
      <c r="H8" s="1">
        <v>95</v>
      </c>
      <c r="I8" s="1" t="s">
        <v>20</v>
      </c>
      <c r="J8" s="3" t="s">
        <v>36</v>
      </c>
    </row>
    <row r="9" spans="1:10" ht="15" thickBot="1" x14ac:dyDescent="0.35">
      <c r="A9" s="2" t="s">
        <v>37</v>
      </c>
      <c r="B9" s="1" t="s">
        <v>38</v>
      </c>
      <c r="C9" s="1" t="s">
        <v>12</v>
      </c>
      <c r="D9" s="1" t="s">
        <v>13</v>
      </c>
      <c r="E9" s="1">
        <v>1</v>
      </c>
      <c r="F9" s="1">
        <v>1</v>
      </c>
      <c r="G9" s="1">
        <v>4</v>
      </c>
      <c r="H9" s="1">
        <v>38</v>
      </c>
      <c r="I9" s="1" t="s">
        <v>14</v>
      </c>
      <c r="J9" s="3" t="s">
        <v>39</v>
      </c>
    </row>
    <row r="10" spans="1:10" ht="15" thickBot="1" x14ac:dyDescent="0.35">
      <c r="A10" s="2" t="s">
        <v>40</v>
      </c>
      <c r="B10" s="1" t="s">
        <v>41</v>
      </c>
      <c r="C10" s="1" t="s">
        <v>18</v>
      </c>
      <c r="D10" s="1" t="s">
        <v>18</v>
      </c>
      <c r="E10" s="1">
        <v>19</v>
      </c>
      <c r="F10" s="1">
        <v>14</v>
      </c>
      <c r="G10" s="1">
        <v>2</v>
      </c>
      <c r="H10" s="1">
        <v>82</v>
      </c>
      <c r="I10" s="1" t="s">
        <v>20</v>
      </c>
      <c r="J10" s="3" t="s">
        <v>42</v>
      </c>
    </row>
    <row r="11" spans="1:10" ht="15" thickBot="1" x14ac:dyDescent="0.35">
      <c r="A11" s="2" t="s">
        <v>43</v>
      </c>
      <c r="B11" s="1" t="s">
        <v>44</v>
      </c>
      <c r="C11" s="1" t="s">
        <v>12</v>
      </c>
      <c r="D11" s="1" t="s">
        <v>13</v>
      </c>
      <c r="E11" s="1">
        <v>4</v>
      </c>
      <c r="F11" s="1">
        <v>3</v>
      </c>
      <c r="G11" s="1">
        <v>1</v>
      </c>
      <c r="H11" s="1">
        <v>70</v>
      </c>
      <c r="I11" s="1" t="s">
        <v>30</v>
      </c>
      <c r="J11" s="3" t="s">
        <v>21</v>
      </c>
    </row>
    <row r="12" spans="1:10" ht="15" thickBot="1" x14ac:dyDescent="0.35">
      <c r="A12" s="2" t="s">
        <v>45</v>
      </c>
      <c r="B12" s="1" t="s">
        <v>46</v>
      </c>
      <c r="C12" s="1" t="s">
        <v>12</v>
      </c>
      <c r="D12" s="1" t="s">
        <v>13</v>
      </c>
      <c r="E12" s="1">
        <v>2</v>
      </c>
      <c r="F12" s="1">
        <v>0</v>
      </c>
      <c r="G12" s="1">
        <v>3</v>
      </c>
      <c r="H12" s="1">
        <v>42</v>
      </c>
      <c r="I12" s="1" t="s">
        <v>14</v>
      </c>
      <c r="J12" s="3" t="s">
        <v>47</v>
      </c>
    </row>
    <row r="13" spans="1:10" ht="15" thickBot="1" x14ac:dyDescent="0.35">
      <c r="A13" s="2" t="s">
        <v>48</v>
      </c>
      <c r="B13" s="1" t="s">
        <v>49</v>
      </c>
      <c r="C13" s="1" t="s">
        <v>18</v>
      </c>
      <c r="D13" s="1" t="s">
        <v>19</v>
      </c>
      <c r="E13" s="1">
        <v>24</v>
      </c>
      <c r="F13" s="1">
        <v>18</v>
      </c>
      <c r="G13" s="1">
        <v>0</v>
      </c>
      <c r="H13" s="1">
        <v>90</v>
      </c>
      <c r="I13" s="1" t="s">
        <v>20</v>
      </c>
      <c r="J13" s="3" t="s">
        <v>50</v>
      </c>
    </row>
    <row r="14" spans="1:10" ht="15" thickBot="1" x14ac:dyDescent="0.35">
      <c r="A14" s="2" t="s">
        <v>51</v>
      </c>
      <c r="B14" s="1" t="s">
        <v>52</v>
      </c>
      <c r="C14" s="1" t="s">
        <v>12</v>
      </c>
      <c r="D14" s="1" t="s">
        <v>13</v>
      </c>
      <c r="E14" s="1">
        <v>6</v>
      </c>
      <c r="F14" s="1">
        <v>4</v>
      </c>
      <c r="G14" s="1">
        <v>0</v>
      </c>
      <c r="H14" s="1">
        <v>78</v>
      </c>
      <c r="I14" s="1" t="s">
        <v>30</v>
      </c>
      <c r="J14" s="3" t="s">
        <v>53</v>
      </c>
    </row>
    <row r="15" spans="1:10" ht="15" thickBot="1" x14ac:dyDescent="0.35">
      <c r="A15" s="2" t="s">
        <v>54</v>
      </c>
      <c r="B15" s="1" t="s">
        <v>55</v>
      </c>
      <c r="C15" s="1" t="s">
        <v>12</v>
      </c>
      <c r="D15" s="1" t="s">
        <v>13</v>
      </c>
      <c r="E15" s="1">
        <v>1</v>
      </c>
      <c r="F15" s="1">
        <v>0</v>
      </c>
      <c r="G15" s="1">
        <v>5</v>
      </c>
      <c r="H15" s="1">
        <v>25</v>
      </c>
      <c r="I15" s="1" t="s">
        <v>14</v>
      </c>
      <c r="J15" s="3" t="s">
        <v>56</v>
      </c>
    </row>
    <row r="16" spans="1:10" x14ac:dyDescent="0.3">
      <c r="A16" s="7" t="s">
        <v>57</v>
      </c>
      <c r="B16" s="8" t="s">
        <v>58</v>
      </c>
      <c r="C16" s="8" t="s">
        <v>18</v>
      </c>
      <c r="D16" s="8" t="s">
        <v>18</v>
      </c>
      <c r="E16" s="8">
        <v>28</v>
      </c>
      <c r="F16" s="8">
        <v>22</v>
      </c>
      <c r="G16" s="8">
        <v>1</v>
      </c>
      <c r="H16" s="8">
        <v>94</v>
      </c>
      <c r="I16" s="8" t="s">
        <v>20</v>
      </c>
      <c r="J16" s="9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42F9-90F2-47BD-A775-9AC35825E563}">
  <dimension ref="A3:B19"/>
  <sheetViews>
    <sheetView workbookViewId="0">
      <selection activeCell="P13" sqref="P13"/>
    </sheetView>
  </sheetViews>
  <sheetFormatPr defaultRowHeight="14.4" x14ac:dyDescent="0.3"/>
  <cols>
    <col min="1" max="1" width="20.44140625" bestFit="1" customWidth="1"/>
    <col min="2" max="2" width="18" bestFit="1" customWidth="1"/>
  </cols>
  <sheetData>
    <row r="3" spans="1:2" x14ac:dyDescent="0.3">
      <c r="A3" s="10" t="s">
        <v>60</v>
      </c>
      <c r="B3" t="s">
        <v>65</v>
      </c>
    </row>
    <row r="4" spans="1:2" x14ac:dyDescent="0.3">
      <c r="A4" s="11" t="s">
        <v>23</v>
      </c>
      <c r="B4">
        <v>2</v>
      </c>
    </row>
    <row r="5" spans="1:2" x14ac:dyDescent="0.3">
      <c r="A5" s="11" t="s">
        <v>38</v>
      </c>
      <c r="B5">
        <v>4</v>
      </c>
    </row>
    <row r="6" spans="1:2" x14ac:dyDescent="0.3">
      <c r="A6" s="11" t="s">
        <v>44</v>
      </c>
      <c r="B6">
        <v>1</v>
      </c>
    </row>
    <row r="7" spans="1:2" x14ac:dyDescent="0.3">
      <c r="A7" s="11" t="s">
        <v>17</v>
      </c>
      <c r="B7">
        <v>0</v>
      </c>
    </row>
    <row r="8" spans="1:2" x14ac:dyDescent="0.3">
      <c r="A8" s="11" t="s">
        <v>52</v>
      </c>
      <c r="B8">
        <v>0</v>
      </c>
    </row>
    <row r="9" spans="1:2" x14ac:dyDescent="0.3">
      <c r="A9" s="11" t="s">
        <v>46</v>
      </c>
      <c r="B9">
        <v>3</v>
      </c>
    </row>
    <row r="10" spans="1:2" x14ac:dyDescent="0.3">
      <c r="A10" s="11" t="s">
        <v>49</v>
      </c>
      <c r="B10">
        <v>0</v>
      </c>
    </row>
    <row r="11" spans="1:2" x14ac:dyDescent="0.3">
      <c r="A11" s="11" t="s">
        <v>29</v>
      </c>
      <c r="B11">
        <v>0</v>
      </c>
    </row>
    <row r="12" spans="1:2" x14ac:dyDescent="0.3">
      <c r="A12" s="11" t="s">
        <v>58</v>
      </c>
      <c r="B12">
        <v>1</v>
      </c>
    </row>
    <row r="13" spans="1:2" x14ac:dyDescent="0.3">
      <c r="A13" s="11" t="s">
        <v>35</v>
      </c>
      <c r="B13">
        <v>0</v>
      </c>
    </row>
    <row r="14" spans="1:2" x14ac:dyDescent="0.3">
      <c r="A14" s="11" t="s">
        <v>41</v>
      </c>
      <c r="B14">
        <v>2</v>
      </c>
    </row>
    <row r="15" spans="1:2" x14ac:dyDescent="0.3">
      <c r="A15" s="11" t="s">
        <v>11</v>
      </c>
      <c r="B15">
        <v>3</v>
      </c>
    </row>
    <row r="16" spans="1:2" x14ac:dyDescent="0.3">
      <c r="A16" s="11" t="s">
        <v>32</v>
      </c>
      <c r="B16">
        <v>2</v>
      </c>
    </row>
    <row r="17" spans="1:2" x14ac:dyDescent="0.3">
      <c r="A17" s="11" t="s">
        <v>55</v>
      </c>
      <c r="B17">
        <v>5</v>
      </c>
    </row>
    <row r="18" spans="1:2" x14ac:dyDescent="0.3">
      <c r="A18" s="11" t="s">
        <v>26</v>
      </c>
      <c r="B18">
        <v>1</v>
      </c>
    </row>
    <row r="19" spans="1:2" x14ac:dyDescent="0.3">
      <c r="A19" s="11" t="s">
        <v>61</v>
      </c>
      <c r="B19">
        <v>24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DB63-D030-4E2A-9C13-40DB9B427BB3}">
  <dimension ref="A3:E20"/>
  <sheetViews>
    <sheetView workbookViewId="0">
      <selection activeCell="A3" sqref="A3"/>
    </sheetView>
  </sheetViews>
  <sheetFormatPr defaultRowHeight="14.4" x14ac:dyDescent="0.3"/>
  <cols>
    <col min="1" max="1" width="20.44140625" bestFit="1" customWidth="1"/>
    <col min="2" max="2" width="15.5546875" bestFit="1" customWidth="1"/>
    <col min="3" max="3" width="9.5546875" bestFit="1" customWidth="1"/>
    <col min="4" max="4" width="8.6640625" bestFit="1" customWidth="1"/>
    <col min="5" max="5" width="10.5546875" bestFit="1" customWidth="1"/>
    <col min="6" max="6" width="17.77734375" bestFit="1" customWidth="1"/>
    <col min="7" max="7" width="18.77734375" bestFit="1" customWidth="1"/>
    <col min="8" max="8" width="22.33203125" bestFit="1" customWidth="1"/>
    <col min="9" max="9" width="23.33203125" bestFit="1" customWidth="1"/>
  </cols>
  <sheetData>
    <row r="3" spans="1:5" x14ac:dyDescent="0.3">
      <c r="A3" s="10" t="s">
        <v>63</v>
      </c>
      <c r="B3" s="10" t="s">
        <v>62</v>
      </c>
    </row>
    <row r="4" spans="1:5" x14ac:dyDescent="0.3">
      <c r="A4" s="10" t="s">
        <v>60</v>
      </c>
      <c r="B4" t="s">
        <v>13</v>
      </c>
      <c r="C4" t="s">
        <v>18</v>
      </c>
      <c r="D4" t="s">
        <v>19</v>
      </c>
      <c r="E4" t="s">
        <v>61</v>
      </c>
    </row>
    <row r="5" spans="1:5" x14ac:dyDescent="0.3">
      <c r="A5" s="11" t="s">
        <v>23</v>
      </c>
      <c r="B5">
        <v>1</v>
      </c>
      <c r="E5">
        <v>1</v>
      </c>
    </row>
    <row r="6" spans="1:5" x14ac:dyDescent="0.3">
      <c r="A6" s="11" t="s">
        <v>38</v>
      </c>
      <c r="B6">
        <v>1</v>
      </c>
      <c r="E6">
        <v>1</v>
      </c>
    </row>
    <row r="7" spans="1:5" x14ac:dyDescent="0.3">
      <c r="A7" s="11" t="s">
        <v>44</v>
      </c>
      <c r="B7">
        <v>4</v>
      </c>
      <c r="E7">
        <v>4</v>
      </c>
    </row>
    <row r="8" spans="1:5" x14ac:dyDescent="0.3">
      <c r="A8" s="11" t="s">
        <v>17</v>
      </c>
      <c r="D8">
        <v>18</v>
      </c>
      <c r="E8">
        <v>18</v>
      </c>
    </row>
    <row r="9" spans="1:5" x14ac:dyDescent="0.3">
      <c r="A9" s="11" t="s">
        <v>52</v>
      </c>
      <c r="B9">
        <v>6</v>
      </c>
      <c r="E9">
        <v>6</v>
      </c>
    </row>
    <row r="10" spans="1:5" x14ac:dyDescent="0.3">
      <c r="A10" s="11" t="s">
        <v>46</v>
      </c>
      <c r="B10">
        <v>2</v>
      </c>
      <c r="E10">
        <v>2</v>
      </c>
    </row>
    <row r="11" spans="1:5" x14ac:dyDescent="0.3">
      <c r="A11" s="11" t="s">
        <v>49</v>
      </c>
      <c r="D11">
        <v>24</v>
      </c>
      <c r="E11">
        <v>24</v>
      </c>
    </row>
    <row r="12" spans="1:5" x14ac:dyDescent="0.3">
      <c r="A12" s="11" t="s">
        <v>29</v>
      </c>
      <c r="B12">
        <v>5</v>
      </c>
      <c r="E12">
        <v>5</v>
      </c>
    </row>
    <row r="13" spans="1:5" x14ac:dyDescent="0.3">
      <c r="A13" s="11" t="s">
        <v>58</v>
      </c>
      <c r="C13">
        <v>28</v>
      </c>
      <c r="E13">
        <v>28</v>
      </c>
    </row>
    <row r="14" spans="1:5" x14ac:dyDescent="0.3">
      <c r="A14" s="11" t="s">
        <v>35</v>
      </c>
      <c r="D14">
        <v>22</v>
      </c>
      <c r="E14">
        <v>22</v>
      </c>
    </row>
    <row r="15" spans="1:5" x14ac:dyDescent="0.3">
      <c r="A15" s="11" t="s">
        <v>41</v>
      </c>
      <c r="C15">
        <v>19</v>
      </c>
      <c r="E15">
        <v>19</v>
      </c>
    </row>
    <row r="16" spans="1:5" x14ac:dyDescent="0.3">
      <c r="A16" s="11" t="s">
        <v>11</v>
      </c>
      <c r="B16">
        <v>2</v>
      </c>
      <c r="E16">
        <v>2</v>
      </c>
    </row>
    <row r="17" spans="1:5" x14ac:dyDescent="0.3">
      <c r="A17" s="11" t="s">
        <v>32</v>
      </c>
      <c r="B17">
        <v>3</v>
      </c>
      <c r="E17">
        <v>3</v>
      </c>
    </row>
    <row r="18" spans="1:5" x14ac:dyDescent="0.3">
      <c r="A18" s="11" t="s">
        <v>55</v>
      </c>
      <c r="B18">
        <v>1</v>
      </c>
      <c r="E18">
        <v>1</v>
      </c>
    </row>
    <row r="19" spans="1:5" x14ac:dyDescent="0.3">
      <c r="A19" s="11" t="s">
        <v>26</v>
      </c>
      <c r="C19">
        <v>25</v>
      </c>
      <c r="E19">
        <v>25</v>
      </c>
    </row>
    <row r="20" spans="1:5" x14ac:dyDescent="0.3">
      <c r="A20" s="11" t="s">
        <v>61</v>
      </c>
      <c r="B20">
        <v>25</v>
      </c>
      <c r="C20">
        <v>72</v>
      </c>
      <c r="D20">
        <v>64</v>
      </c>
      <c r="E20">
        <v>161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DA2A-79F7-4BCD-AFE2-B5AFB64B684E}">
  <dimension ref="A3:B19"/>
  <sheetViews>
    <sheetView workbookViewId="0">
      <selection activeCell="F18" sqref="F18"/>
    </sheetView>
  </sheetViews>
  <sheetFormatPr defaultRowHeight="14.4" x14ac:dyDescent="0.3"/>
  <cols>
    <col min="1" max="1" width="20.44140625" bestFit="1" customWidth="1"/>
    <col min="2" max="2" width="17.88671875" bestFit="1" customWidth="1"/>
    <col min="3" max="3" width="4.6640625" bestFit="1" customWidth="1"/>
    <col min="4" max="4" width="10.5546875" bestFit="1" customWidth="1"/>
  </cols>
  <sheetData>
    <row r="3" spans="1:2" x14ac:dyDescent="0.3">
      <c r="A3" s="10" t="s">
        <v>60</v>
      </c>
      <c r="B3" t="s">
        <v>66</v>
      </c>
    </row>
    <row r="4" spans="1:2" x14ac:dyDescent="0.3">
      <c r="A4" s="11" t="s">
        <v>23</v>
      </c>
      <c r="B4">
        <v>30</v>
      </c>
    </row>
    <row r="5" spans="1:2" x14ac:dyDescent="0.3">
      <c r="A5" s="11" t="s">
        <v>38</v>
      </c>
      <c r="B5">
        <v>38</v>
      </c>
    </row>
    <row r="6" spans="1:2" x14ac:dyDescent="0.3">
      <c r="A6" s="11" t="s">
        <v>44</v>
      </c>
      <c r="B6">
        <v>70</v>
      </c>
    </row>
    <row r="7" spans="1:2" x14ac:dyDescent="0.3">
      <c r="A7" s="11" t="s">
        <v>17</v>
      </c>
      <c r="B7">
        <v>92</v>
      </c>
    </row>
    <row r="8" spans="1:2" x14ac:dyDescent="0.3">
      <c r="A8" s="11" t="s">
        <v>52</v>
      </c>
      <c r="B8">
        <v>78</v>
      </c>
    </row>
    <row r="9" spans="1:2" x14ac:dyDescent="0.3">
      <c r="A9" s="11" t="s">
        <v>46</v>
      </c>
      <c r="B9">
        <v>42</v>
      </c>
    </row>
    <row r="10" spans="1:2" x14ac:dyDescent="0.3">
      <c r="A10" s="11" t="s">
        <v>49</v>
      </c>
      <c r="B10">
        <v>90</v>
      </c>
    </row>
    <row r="11" spans="1:2" x14ac:dyDescent="0.3">
      <c r="A11" s="11" t="s">
        <v>29</v>
      </c>
      <c r="B11">
        <v>75</v>
      </c>
    </row>
    <row r="12" spans="1:2" x14ac:dyDescent="0.3">
      <c r="A12" s="11" t="s">
        <v>58</v>
      </c>
      <c r="B12">
        <v>94</v>
      </c>
    </row>
    <row r="13" spans="1:2" x14ac:dyDescent="0.3">
      <c r="A13" s="11" t="s">
        <v>35</v>
      </c>
      <c r="B13">
        <v>95</v>
      </c>
    </row>
    <row r="14" spans="1:2" x14ac:dyDescent="0.3">
      <c r="A14" s="11" t="s">
        <v>41</v>
      </c>
      <c r="B14">
        <v>82</v>
      </c>
    </row>
    <row r="15" spans="1:2" x14ac:dyDescent="0.3">
      <c r="A15" s="11" t="s">
        <v>11</v>
      </c>
      <c r="B15">
        <v>45</v>
      </c>
    </row>
    <row r="16" spans="1:2" x14ac:dyDescent="0.3">
      <c r="A16" s="11" t="s">
        <v>32</v>
      </c>
      <c r="B16">
        <v>55</v>
      </c>
    </row>
    <row r="17" spans="1:2" x14ac:dyDescent="0.3">
      <c r="A17" s="11" t="s">
        <v>55</v>
      </c>
      <c r="B17">
        <v>25</v>
      </c>
    </row>
    <row r="18" spans="1:2" x14ac:dyDescent="0.3">
      <c r="A18" s="11" t="s">
        <v>26</v>
      </c>
      <c r="B18">
        <v>88</v>
      </c>
    </row>
    <row r="19" spans="1:2" x14ac:dyDescent="0.3">
      <c r="A19" s="11" t="s">
        <v>61</v>
      </c>
      <c r="B19">
        <v>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511C-E462-4D22-A98D-41FCAAE3FC3E}">
  <dimension ref="A3:B19"/>
  <sheetViews>
    <sheetView workbookViewId="0">
      <selection activeCell="H30" sqref="H30"/>
    </sheetView>
  </sheetViews>
  <sheetFormatPr defaultRowHeight="14.4" x14ac:dyDescent="0.3"/>
  <cols>
    <col min="1" max="1" width="20.44140625" bestFit="1" customWidth="1"/>
    <col min="2" max="2" width="22.88671875" bestFit="1" customWidth="1"/>
    <col min="3" max="3" width="4.6640625" bestFit="1" customWidth="1"/>
    <col min="4" max="4" width="10.5546875" bestFit="1" customWidth="1"/>
  </cols>
  <sheetData>
    <row r="3" spans="1:2" x14ac:dyDescent="0.3">
      <c r="A3" s="10" t="s">
        <v>60</v>
      </c>
      <c r="B3" t="s">
        <v>64</v>
      </c>
    </row>
    <row r="4" spans="1:2" x14ac:dyDescent="0.3">
      <c r="A4" s="11" t="s">
        <v>23</v>
      </c>
      <c r="B4">
        <v>0</v>
      </c>
    </row>
    <row r="5" spans="1:2" x14ac:dyDescent="0.3">
      <c r="A5" s="11" t="s">
        <v>38</v>
      </c>
      <c r="B5">
        <v>1</v>
      </c>
    </row>
    <row r="6" spans="1:2" x14ac:dyDescent="0.3">
      <c r="A6" s="11" t="s">
        <v>44</v>
      </c>
      <c r="B6">
        <v>3</v>
      </c>
    </row>
    <row r="7" spans="1:2" x14ac:dyDescent="0.3">
      <c r="A7" s="11" t="s">
        <v>17</v>
      </c>
      <c r="B7">
        <v>12</v>
      </c>
    </row>
    <row r="8" spans="1:2" x14ac:dyDescent="0.3">
      <c r="A8" s="11" t="s">
        <v>52</v>
      </c>
      <c r="B8">
        <v>4</v>
      </c>
    </row>
    <row r="9" spans="1:2" x14ac:dyDescent="0.3">
      <c r="A9" s="11" t="s">
        <v>46</v>
      </c>
      <c r="B9">
        <v>0</v>
      </c>
    </row>
    <row r="10" spans="1:2" x14ac:dyDescent="0.3">
      <c r="A10" s="11" t="s">
        <v>49</v>
      </c>
      <c r="B10">
        <v>18</v>
      </c>
    </row>
    <row r="11" spans="1:2" x14ac:dyDescent="0.3">
      <c r="A11" s="11" t="s">
        <v>29</v>
      </c>
      <c r="B11">
        <v>3</v>
      </c>
    </row>
    <row r="12" spans="1:2" x14ac:dyDescent="0.3">
      <c r="A12" s="11" t="s">
        <v>58</v>
      </c>
      <c r="B12">
        <v>22</v>
      </c>
    </row>
    <row r="13" spans="1:2" x14ac:dyDescent="0.3">
      <c r="A13" s="11" t="s">
        <v>35</v>
      </c>
      <c r="B13">
        <v>15</v>
      </c>
    </row>
    <row r="14" spans="1:2" x14ac:dyDescent="0.3">
      <c r="A14" s="11" t="s">
        <v>41</v>
      </c>
      <c r="B14">
        <v>14</v>
      </c>
    </row>
    <row r="15" spans="1:2" x14ac:dyDescent="0.3">
      <c r="A15" s="11" t="s">
        <v>11</v>
      </c>
      <c r="B15">
        <v>1</v>
      </c>
    </row>
    <row r="16" spans="1:2" x14ac:dyDescent="0.3">
      <c r="A16" s="11" t="s">
        <v>32</v>
      </c>
      <c r="B16">
        <v>2</v>
      </c>
    </row>
    <row r="17" spans="1:2" x14ac:dyDescent="0.3">
      <c r="A17" s="11" t="s">
        <v>55</v>
      </c>
      <c r="B17">
        <v>0</v>
      </c>
    </row>
    <row r="18" spans="1:2" x14ac:dyDescent="0.3">
      <c r="A18" s="11" t="s">
        <v>26</v>
      </c>
      <c r="B18">
        <v>20</v>
      </c>
    </row>
    <row r="19" spans="1:2" x14ac:dyDescent="0.3">
      <c r="A19" s="11" t="s">
        <v>61</v>
      </c>
      <c r="B19">
        <v>115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6358-ECB8-4FB2-9926-7BE25C462E46}">
  <dimension ref="A3:G9"/>
  <sheetViews>
    <sheetView workbookViewId="0">
      <selection activeCell="G24" sqref="G24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8.6640625" bestFit="1" customWidth="1"/>
    <col min="4" max="4" width="14.109375" bestFit="1" customWidth="1"/>
    <col min="5" max="5" width="6.33203125" bestFit="1" customWidth="1"/>
    <col min="6" max="6" width="9.109375" bestFit="1" customWidth="1"/>
    <col min="7" max="7" width="10.5546875" bestFit="1" customWidth="1"/>
  </cols>
  <sheetData>
    <row r="3" spans="1:7" x14ac:dyDescent="0.3">
      <c r="A3" s="10" t="s">
        <v>66</v>
      </c>
      <c r="B3" s="10" t="s">
        <v>62</v>
      </c>
    </row>
    <row r="4" spans="1:7" x14ac:dyDescent="0.3">
      <c r="B4" t="s">
        <v>18</v>
      </c>
      <c r="D4" t="s">
        <v>67</v>
      </c>
      <c r="E4" t="s">
        <v>12</v>
      </c>
      <c r="F4" t="s">
        <v>68</v>
      </c>
      <c r="G4" t="s">
        <v>61</v>
      </c>
    </row>
    <row r="5" spans="1:7" x14ac:dyDescent="0.3">
      <c r="A5" s="10" t="s">
        <v>60</v>
      </c>
      <c r="B5" t="s">
        <v>18</v>
      </c>
      <c r="C5" t="s">
        <v>19</v>
      </c>
      <c r="E5" t="s">
        <v>13</v>
      </c>
    </row>
    <row r="6" spans="1:7" x14ac:dyDescent="0.3">
      <c r="A6" s="11" t="s">
        <v>14</v>
      </c>
      <c r="E6">
        <v>180</v>
      </c>
      <c r="F6">
        <v>180</v>
      </c>
      <c r="G6">
        <v>180</v>
      </c>
    </row>
    <row r="7" spans="1:7" x14ac:dyDescent="0.3">
      <c r="A7" s="11" t="s">
        <v>20</v>
      </c>
      <c r="B7">
        <v>264</v>
      </c>
      <c r="C7">
        <v>277</v>
      </c>
      <c r="D7">
        <v>541</v>
      </c>
      <c r="G7">
        <v>541</v>
      </c>
    </row>
    <row r="8" spans="1:7" x14ac:dyDescent="0.3">
      <c r="A8" s="11" t="s">
        <v>30</v>
      </c>
      <c r="E8">
        <v>278</v>
      </c>
      <c r="F8">
        <v>278</v>
      </c>
      <c r="G8">
        <v>278</v>
      </c>
    </row>
    <row r="9" spans="1:7" x14ac:dyDescent="0.3">
      <c r="A9" s="11" t="s">
        <v>61</v>
      </c>
      <c r="B9">
        <v>264</v>
      </c>
      <c r="C9">
        <v>277</v>
      </c>
      <c r="D9">
        <v>541</v>
      </c>
      <c r="E9">
        <v>458</v>
      </c>
      <c r="F9">
        <v>458</v>
      </c>
      <c r="G9">
        <v>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9EBF-A633-458E-AF8E-A80805E6B85C}">
  <dimension ref="A3:A34"/>
  <sheetViews>
    <sheetView workbookViewId="0">
      <selection activeCell="B25" sqref="B25"/>
    </sheetView>
  </sheetViews>
  <sheetFormatPr defaultRowHeight="14.4" x14ac:dyDescent="0.3"/>
  <cols>
    <col min="1" max="1" width="39.6640625" bestFit="1" customWidth="1"/>
    <col min="2" max="2" width="24.109375" bestFit="1" customWidth="1"/>
  </cols>
  <sheetData>
    <row r="3" spans="1:1" x14ac:dyDescent="0.3">
      <c r="A3" s="10" t="s">
        <v>60</v>
      </c>
    </row>
    <row r="4" spans="1:1" x14ac:dyDescent="0.3">
      <c r="A4" s="11" t="s">
        <v>23</v>
      </c>
    </row>
    <row r="5" spans="1:1" x14ac:dyDescent="0.3">
      <c r="A5" s="12" t="s">
        <v>24</v>
      </c>
    </row>
    <row r="6" spans="1:1" x14ac:dyDescent="0.3">
      <c r="A6" s="11" t="s">
        <v>38</v>
      </c>
    </row>
    <row r="7" spans="1:1" x14ac:dyDescent="0.3">
      <c r="A7" s="12" t="s">
        <v>39</v>
      </c>
    </row>
    <row r="8" spans="1:1" x14ac:dyDescent="0.3">
      <c r="A8" s="11" t="s">
        <v>44</v>
      </c>
    </row>
    <row r="9" spans="1:1" x14ac:dyDescent="0.3">
      <c r="A9" s="12" t="s">
        <v>21</v>
      </c>
    </row>
    <row r="10" spans="1:1" x14ac:dyDescent="0.3">
      <c r="A10" s="11" t="s">
        <v>17</v>
      </c>
    </row>
    <row r="11" spans="1:1" x14ac:dyDescent="0.3">
      <c r="A11" s="12" t="s">
        <v>21</v>
      </c>
    </row>
    <row r="12" spans="1:1" x14ac:dyDescent="0.3">
      <c r="A12" s="11" t="s">
        <v>52</v>
      </c>
    </row>
    <row r="13" spans="1:1" x14ac:dyDescent="0.3">
      <c r="A13" s="12" t="s">
        <v>53</v>
      </c>
    </row>
    <row r="14" spans="1:1" x14ac:dyDescent="0.3">
      <c r="A14" s="11" t="s">
        <v>46</v>
      </c>
    </row>
    <row r="15" spans="1:1" x14ac:dyDescent="0.3">
      <c r="A15" s="12" t="s">
        <v>47</v>
      </c>
    </row>
    <row r="16" spans="1:1" x14ac:dyDescent="0.3">
      <c r="A16" s="11" t="s">
        <v>49</v>
      </c>
    </row>
    <row r="17" spans="1:1" x14ac:dyDescent="0.3">
      <c r="A17" s="12" t="s">
        <v>50</v>
      </c>
    </row>
    <row r="18" spans="1:1" x14ac:dyDescent="0.3">
      <c r="A18" s="11" t="s">
        <v>29</v>
      </c>
    </row>
    <row r="19" spans="1:1" x14ac:dyDescent="0.3">
      <c r="A19" s="12" t="s">
        <v>21</v>
      </c>
    </row>
    <row r="20" spans="1:1" x14ac:dyDescent="0.3">
      <c r="A20" s="11" t="s">
        <v>58</v>
      </c>
    </row>
    <row r="21" spans="1:1" x14ac:dyDescent="0.3">
      <c r="A21" s="12" t="s">
        <v>59</v>
      </c>
    </row>
    <row r="22" spans="1:1" x14ac:dyDescent="0.3">
      <c r="A22" s="11" t="s">
        <v>35</v>
      </c>
    </row>
    <row r="23" spans="1:1" x14ac:dyDescent="0.3">
      <c r="A23" s="12" t="s">
        <v>36</v>
      </c>
    </row>
    <row r="24" spans="1:1" x14ac:dyDescent="0.3">
      <c r="A24" s="11" t="s">
        <v>41</v>
      </c>
    </row>
    <row r="25" spans="1:1" x14ac:dyDescent="0.3">
      <c r="A25" s="12" t="s">
        <v>42</v>
      </c>
    </row>
    <row r="26" spans="1:1" x14ac:dyDescent="0.3">
      <c r="A26" s="11" t="s">
        <v>11</v>
      </c>
    </row>
    <row r="27" spans="1:1" x14ac:dyDescent="0.3">
      <c r="A27" s="12" t="s">
        <v>15</v>
      </c>
    </row>
    <row r="28" spans="1:1" x14ac:dyDescent="0.3">
      <c r="A28" s="11" t="s">
        <v>32</v>
      </c>
    </row>
    <row r="29" spans="1:1" x14ac:dyDescent="0.3">
      <c r="A29" s="12" t="s">
        <v>33</v>
      </c>
    </row>
    <row r="30" spans="1:1" x14ac:dyDescent="0.3">
      <c r="A30" s="11" t="s">
        <v>55</v>
      </c>
    </row>
    <row r="31" spans="1:1" x14ac:dyDescent="0.3">
      <c r="A31" s="12" t="s">
        <v>56</v>
      </c>
    </row>
    <row r="32" spans="1:1" x14ac:dyDescent="0.3">
      <c r="A32" s="11" t="s">
        <v>26</v>
      </c>
    </row>
    <row r="33" spans="1:1" x14ac:dyDescent="0.3">
      <c r="A33" s="12" t="s">
        <v>27</v>
      </c>
    </row>
    <row r="34" spans="1:1" x14ac:dyDescent="0.3">
      <c r="A34" s="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open_tickets</vt:lpstr>
      <vt:lpstr>login_companytype</vt:lpstr>
      <vt:lpstr>health_score</vt:lpstr>
      <vt:lpstr>jobs_posted</vt:lpstr>
      <vt:lpstr>churn_risk</vt:lpstr>
      <vt:lpstr>upsell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jhanavi ms</dc:creator>
  <cp:lastModifiedBy>jhanavi ms</cp:lastModifiedBy>
  <dcterms:created xsi:type="dcterms:W3CDTF">2026-08-21T09:28:54Z</dcterms:created>
  <dcterms:modified xsi:type="dcterms:W3CDTF">2026-09-03T02:22:50Z</dcterms:modified>
</cp:coreProperties>
</file>